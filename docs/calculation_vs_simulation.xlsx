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 vs Simulation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Hand calcu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;-0.0%;0.0%"/>
    <numFmt numFmtId="165" formatCode="0.000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color rgb="00000000"/>
    </font>
    <font>
      <name val="Arial"/>
      <color rgb="000000FF"/>
    </font>
    <font>
      <name val="Arial"/>
      <i val="1"/>
      <color rgb="00666666"/>
      <sz val="9"/>
    </font>
    <font>
      <name val="Arial"/>
      <color rgb="00008000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65" fontId="6" fillId="0" borderId="1" applyAlignment="1" pivotButton="0" quotePrefix="0" xfId="0">
      <alignment vertical="center" wrapText="1"/>
    </xf>
    <xf numFmtId="165" fontId="4" fillId="3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11" fontId="6" fillId="0" borderId="1" applyAlignment="1" pivotButton="0" quotePrefix="0" xfId="0">
      <alignment vertical="center" wrapText="1"/>
    </xf>
    <xf numFmtId="11" fontId="4" fillId="3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LiquidSloshingRL team</author>
  </authors>
  <commentList>
    <comment ref="D4" authorId="0" shapeId="0">
      <text>
        <t>Grey cells: values produced by the code or by logged simulation runs. Each row names its source in column F.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/Relationships>
</file>

<file path=xl/drawings/drawing1.xml><?xml version="1.0" encoding="utf-8"?>
<wsDr xmlns="http://schemas.openxmlformats.org/drawingml/2006/spreadsheetDrawing">
  <twoCellAnchor editAs="oneCell">
    <from>
      <col>1</col>
      <colOff>38100</colOff>
      <row>15</row>
      <rowOff>28575</rowOff>
    </from>
    <to>
      <col>1</col>
      <colOff>970788</colOff>
      <row>15</row>
      <rowOff>284607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38100</colOff>
      <row>16</row>
      <rowOff>28575</rowOff>
    </from>
    <to>
      <col>1</col>
      <colOff>248411</colOff>
      <row>16</row>
      <rowOff>449198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38100</colOff>
      <row>17</row>
      <rowOff>28575</rowOff>
    </from>
    <to>
      <col>1</col>
      <colOff>1866900</colOff>
      <row>17</row>
      <rowOff>467487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38100</colOff>
      <row>18</row>
      <rowOff>28575</rowOff>
    </from>
    <to>
      <col>1</col>
      <colOff>2328672</colOff>
      <row>18</row>
      <rowOff>449198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38100</colOff>
      <row>19</row>
      <rowOff>28575</rowOff>
    </from>
    <to>
      <col>1</col>
      <colOff>3110484</colOff>
      <row>19</row>
      <rowOff>449198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38100</colOff>
      <row>20</row>
      <rowOff>28575</rowOff>
    </from>
    <to>
      <col>1</col>
      <colOff>2785871</colOff>
      <row>20</row>
      <rowOff>485775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38100</colOff>
      <row>21</row>
      <rowOff>28575</rowOff>
    </from>
    <to>
      <col>1</col>
      <colOff>2273808</colOff>
      <row>21</row>
      <rowOff>508635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38100</colOff>
      <row>22</row>
      <rowOff>28575</rowOff>
    </from>
    <to>
      <col>1</col>
      <colOff>646176</colOff>
      <row>22</row>
      <rowOff>421767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38100</colOff>
      <row>23</row>
      <rowOff>28575</rowOff>
    </from>
    <to>
      <col>1</col>
      <colOff>701040</colOff>
      <row>23</row>
      <rowOff>490346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38100</colOff>
      <row>24</row>
      <rowOff>28575</rowOff>
    </from>
    <to>
      <col>1</col>
      <colOff>714755</colOff>
      <row>24</row>
      <rowOff>430910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38100</colOff>
      <row>27</row>
      <rowOff>28575</rowOff>
    </from>
    <to>
      <col>1</col>
      <colOff>915924</colOff>
      <row>27</row>
      <rowOff>284607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38100</colOff>
      <row>28</row>
      <rowOff>28575</rowOff>
    </from>
    <to>
      <col>1</col>
      <colOff>1757172</colOff>
      <row>28</row>
      <rowOff>526923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38100</colOff>
      <row>29</row>
      <rowOff>28575</rowOff>
    </from>
    <to>
      <col>1</col>
      <colOff>646176</colOff>
      <row>29</row>
      <rowOff>421767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38100</colOff>
      <row>32</row>
      <rowOff>28575</rowOff>
    </from>
    <to>
      <col>1</col>
      <colOff>1121664</colOff>
      <row>32</row>
      <rowOff>284607</rowOff>
    </to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38100</colOff>
      <row>33</row>
      <rowOff>28575</rowOff>
    </from>
    <to>
      <col>1</col>
      <colOff>1199388</colOff>
      <row>33</row>
      <rowOff>531495</rowOff>
    </to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38100</colOff>
      <row>34</row>
      <rowOff>28575</rowOff>
    </from>
    <to>
      <col>1</col>
      <colOff>1245108</colOff>
      <row>34</row>
      <rowOff>293751</rowOff>
    </to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38100</colOff>
      <row>35</row>
      <rowOff>28575</rowOff>
    </from>
    <to>
      <col>1</col>
      <colOff>1309116</colOff>
      <row>35</row>
      <rowOff>481202</rowOff>
    </to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6" customWidth="1" min="3" max="3"/>
    <col width="14" customWidth="1" min="4" max="4"/>
    <col width="11" customWidth="1" min="5" max="5"/>
    <col width="52" customWidth="1" min="6" max="6"/>
    <col width="60" customWidth="1" min="7" max="7"/>
  </cols>
  <sheetData>
    <row r="1">
      <c r="A1" s="1" t="inlineStr">
        <is>
          <t>Calculation vs simulation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Hand calculation = Excel formula (see 'Hand calculations' sheet). Simulation = value the code or a logged run actually produced (grey). Error = (simulation - calculation) / calculation.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Quantity</t>
        </is>
      </c>
      <c r="B4" s="4" t="inlineStr">
        <is>
          <t>Unit</t>
        </is>
      </c>
      <c r="C4" s="4" t="inlineStr">
        <is>
          <t>Hand calculation</t>
        </is>
      </c>
      <c r="D4" s="4" t="inlineStr">
        <is>
          <t>Simulation</t>
        </is>
      </c>
      <c r="E4" s="4" t="inlineStr">
        <is>
          <t>Error (%)</t>
        </is>
      </c>
      <c r="F4" s="4" t="inlineStr">
        <is>
          <t>What the simulation value is</t>
        </is>
      </c>
      <c r="G4" s="4" t="inlineStr">
        <is>
          <t>Comment</t>
        </is>
      </c>
    </row>
    <row r="5">
      <c r="A5" s="5" t="inlineStr">
        <is>
          <r>
            <rPr>
              <rFont val="Arial"/>
              <color rgb="00000000"/>
              <sz val="11"/>
            </rPr>
            <t>Tank mass m</t>
          </r>
          <r>
            <rPr>
              <rFont val="Arial"/>
              <color rgb="00000000"/>
              <sz val="11"/>
              <vertAlign val="subscript"/>
            </rPr>
            <t>t</t>
          </r>
        </is>
      </c>
      <c r="B5" s="5" t="inlineStr">
        <is>
          <t>kg</t>
        </is>
      </c>
      <c r="C5" s="6">
        <f>'Hand calculations'!G10</f>
        <v/>
      </c>
      <c r="D5" s="7" t="n">
        <v>3.4692</v>
      </c>
      <c r="E5" s="8">
        <f>IF(C5=0,"-",(D5-C5)/C5)</f>
        <v/>
      </c>
      <c r="F5" s="9" t="inlineStr">
        <is>
          <t>Mass the simulator gives the tank body (utilities/inertia_utils.py)</t>
        </is>
      </c>
      <c r="G5" s="9" t="inlineStr">
        <is>
          <t>Same plate model, so this checks the code's arithmetic.</t>
        </is>
      </c>
    </row>
    <row r="6">
      <c r="A6" s="5" t="inlineStr">
        <is>
          <r>
            <rPr>
              <rFont val="Arial"/>
              <color rgb="00000000"/>
              <sz val="11"/>
            </rPr>
            <t>Tank centre-of-mass height above pivot h</t>
          </r>
          <r>
            <rPr>
              <rFont val="Arial"/>
              <color rgb="00000000"/>
              <sz val="11"/>
              <vertAlign val="subscript"/>
            </rPr>
            <t>t</t>
          </r>
        </is>
      </c>
      <c r="B6" s="5" t="inlineStr">
        <is>
          <t>m</t>
        </is>
      </c>
      <c r="C6" s="6">
        <f>'Hand calculations'!G11</f>
        <v/>
      </c>
      <c r="D6" s="7" t="n">
        <v>0.1187755102040816</v>
      </c>
      <c r="E6" s="8">
        <f>IF(C6=0,"-",(D6-C6)/C6)</f>
        <v/>
      </c>
      <c r="F6" s="9" t="inlineStr">
        <is>
          <t>Centre of mass used by the simulator</t>
        </is>
      </c>
      <c r="G6" s="9" t="inlineStr">
        <is>
          <t>Positive = above the pivot: the tank is an inverted pendulum.</t>
        </is>
      </c>
    </row>
    <row r="7">
      <c r="A7" s="5" t="inlineStr">
        <is>
          <r>
            <rPr>
              <rFont val="Arial"/>
              <color rgb="00000000"/>
              <sz val="11"/>
            </rPr>
            <t>Tank inertia about pivot I</t>
          </r>
          <r>
            <rPr>
              <rFont val="Arial"/>
              <color rgb="00000000"/>
              <sz val="11"/>
              <vertAlign val="subscript"/>
            </rPr>
            <t>O</t>
          </r>
        </is>
      </c>
      <c r="B7" s="5" t="inlineStr">
        <is>
          <t>kg·m²</t>
        </is>
      </c>
      <c r="C7" s="6">
        <f>'Hand calculations'!I10</f>
        <v/>
      </c>
      <c r="D7" s="7" t="n">
        <v>0.15615884</v>
      </c>
      <c r="E7" s="8">
        <f>IF(C7=0,"-",(D7-C7)/C7)</f>
        <v/>
      </c>
      <c r="F7" s="9" t="inlineStr">
        <is>
          <t>environment/tank_dynamics.py::tank_moment_of_inertia_about_pivot</t>
        </is>
      </c>
      <c r="G7" s="9" t="inlineStr">
        <is>
          <t>Parallel-axis theorem, 5 plates.</t>
        </is>
      </c>
    </row>
    <row r="8">
      <c r="A8" s="5" t="inlineStr">
        <is>
          <r>
            <rPr>
              <rFont val="Arial"/>
              <color rgb="00000000"/>
              <sz val="11"/>
            </rPr>
            <t>Impulsive water mass m</t>
          </r>
          <r>
            <rPr>
              <rFont val="Arial"/>
              <color rgb="00000000"/>
              <sz val="11"/>
              <vertAlign val="subscript"/>
            </rPr>
            <t>i</t>
          </r>
        </is>
      </c>
      <c r="B8" s="5" t="inlineStr">
        <is>
          <t>kg</t>
        </is>
      </c>
      <c r="C8" s="6">
        <f>'Hand calculations'!C18</f>
        <v/>
      </c>
      <c r="D8" s="7" t="n">
        <v>10.84632607400331</v>
      </c>
      <c r="E8" s="8">
        <f>IF(C8=0,"-",(D8-C8)/C8)</f>
        <v/>
      </c>
      <c r="F8" s="9" t="inlineStr">
        <is>
          <t>utilities/housner_utils.py output</t>
        </is>
      </c>
      <c r="G8" s="9" t="inlineStr">
        <is>
          <t>Housner / ACI 350.3-06.</t>
        </is>
      </c>
    </row>
    <row r="9">
      <c r="A9" s="5" t="inlineStr">
        <is>
          <r>
            <rPr>
              <rFont val="Arial"/>
              <color rgb="00000000"/>
              <sz val="11"/>
            </rPr>
            <t>Convective (sloshing) water mass m</t>
          </r>
          <r>
            <rPr>
              <rFont val="Arial"/>
              <color rgb="00000000"/>
              <sz val="11"/>
              <vertAlign val="subscript"/>
            </rPr>
            <t>c</t>
          </r>
        </is>
      </c>
      <c r="B9" s="5" t="inlineStr">
        <is>
          <t>kg</t>
        </is>
      </c>
      <c r="C9" s="6">
        <f>'Hand calculations'!C19</f>
        <v/>
      </c>
      <c r="D9" s="7" t="n">
        <v>9.700435988570629</v>
      </c>
      <c r="E9" s="8">
        <f>IF(C9=0,"-",(D9-C9)/C9)</f>
        <v/>
      </c>
      <c r="F9" s="9" t="inlineStr">
        <is>
          <t>utilities/housner_utils.py output</t>
        </is>
      </c>
      <c r="G9" s="9" t="inlineStr">
        <is>
          <t>Mass of the equivalent pendulum.</t>
        </is>
      </c>
    </row>
    <row r="10">
      <c r="A10" s="5" t="inlineStr">
        <is>
          <r>
            <rPr>
              <rFont val="Arial"/>
              <color rgb="00000000"/>
              <sz val="11"/>
            </rPr>
            <t>Equivalent pendulum length L</t>
          </r>
          <r>
            <rPr>
              <rFont val="Arial"/>
              <color rgb="00000000"/>
              <sz val="11"/>
              <vertAlign val="subscript"/>
            </rPr>
            <t>p</t>
          </r>
        </is>
      </c>
      <c r="B10" s="5" t="inlineStr">
        <is>
          <t>m</t>
        </is>
      </c>
      <c r="C10" s="6">
        <f>'Hand calculations'!C24</f>
        <v/>
      </c>
      <c r="D10" s="7" t="n">
        <v>0.137798843509142</v>
      </c>
      <c r="E10" s="8">
        <f>IF(C10=0,"-",(D10-C10)/C10)</f>
        <v/>
      </c>
      <c r="F10" s="9" t="inlineStr">
        <is>
          <t>PendulumBackend pendulum length</t>
        </is>
      </c>
      <c r="G10" s="9" t="inlineStr"/>
    </row>
    <row r="11">
      <c r="A11" s="5" t="inlineStr">
        <is>
          <t>Sloshing frequency: pendulum model (code)</t>
        </is>
      </c>
      <c r="B11" s="5" t="inlineStr">
        <is>
          <t>Hz</t>
        </is>
      </c>
      <c r="C11" s="6">
        <f>'Hand calculations'!C23</f>
        <v/>
      </c>
      <c r="D11" s="7" t="n">
        <v>1.342863436364398</v>
      </c>
      <c r="E11" s="8">
        <f>IF(C11=0,"-",(D11-C11)/C11)</f>
        <v/>
      </c>
      <c r="F11" s="9" t="inlineStr">
        <is>
          <t>Frequency the fast pendulum model is built with</t>
        </is>
      </c>
      <c r="G11" s="9" t="inlineStr">
        <is>
          <t>Formula vs code: should match exactly.</t>
        </is>
      </c>
    </row>
    <row r="12">
      <c r="A12" s="5" t="inlineStr">
        <is>
          <t>Sloshing frequency: pendulum model (measured)</t>
        </is>
      </c>
      <c r="B12" s="5" t="inlineStr">
        <is>
          <t>Hz</t>
        </is>
      </c>
      <c r="C12" s="6">
        <f>'Hand calculations'!C23</f>
        <v/>
      </c>
      <c r="D12" s="7" t="n">
        <v>1.3</v>
      </c>
      <c r="E12" s="8">
        <f>IF(C12=0,"-",(D12-C12)/C12)</f>
        <v/>
      </c>
      <c r="F12" s="9" t="inlineStr">
        <is>
          <t>FFT of the pendulum model's free oscillation</t>
        </is>
      </c>
      <c r="G12" s="9" t="inlineStr">
        <is>
          <t>Within one FFT bin (0.1 Hz) of the calculation.</t>
        </is>
      </c>
    </row>
    <row r="13">
      <c r="A13" s="5" t="inlineStr">
        <is>
          <t>Sloshing frequency: real fluid (SPH) vs Housner</t>
        </is>
      </c>
      <c r="B13" s="5" t="inlineStr">
        <is>
          <t>Hz</t>
        </is>
      </c>
      <c r="C13" s="6">
        <f>'Hand calculations'!C23</f>
        <v/>
      </c>
      <c r="D13" s="7" t="n">
        <v>1.4218</v>
      </c>
      <c r="E13" s="8">
        <f>IF(C13=0,"-",(D13-C13)/C13)</f>
        <v/>
      </c>
      <c r="F13" s="9" t="inlineStr">
        <is>
          <t>Peak-to-peak period of the real SPH fluid after a tilt kick</t>
        </is>
      </c>
      <c r="G13" s="9" t="inlineStr">
        <is>
          <t>Real fluid sloshes ~6% faster than the Housner pendulum predicts.</t>
        </is>
      </c>
    </row>
    <row r="14">
      <c r="A14" s="5" t="inlineStr">
        <is>
          <t>Sloshing frequency: real fluid (SPH) vs potential theory</t>
        </is>
      </c>
      <c r="B14" s="5" t="inlineStr">
        <is>
          <t>Hz</t>
        </is>
      </c>
      <c r="C14" s="6">
        <f>'Hand calculations'!C30</f>
        <v/>
      </c>
      <c r="D14" s="7" t="n">
        <v>1.4218</v>
      </c>
      <c r="E14" s="8">
        <f>IF(C14=0,"-",(D14-C14)/C14)</f>
        <v/>
      </c>
      <c r="F14" s="9" t="inlineStr">
        <is>
          <t>Same SPH measurement</t>
        </is>
      </c>
      <c r="G14" s="9" t="inlineStr">
        <is>
          <t>Exact linear theory with the inner length; within ~4%.</t>
        </is>
      </c>
    </row>
    <row r="15">
      <c r="A15" s="5" t="inlineStr">
        <is>
          <t>LQR closed-loop sloshing frequency</t>
        </is>
      </c>
      <c r="B15" s="5" t="inlineStr">
        <is>
          <t>rad/s</t>
        </is>
      </c>
      <c r="C15" s="6">
        <f>'Hand calculations'!C22</f>
        <v/>
      </c>
      <c r="D15" s="7" t="n">
        <v>8.4406</v>
      </c>
      <c r="E15" s="8">
        <f>IF(C15=0,"-",(D15-C15)/C15)</f>
        <v/>
      </c>
      <c r="F15" s="9" t="inlineStr">
        <is>
          <t>Imaginary part of the LQR closed-loop poles (python -m control.lqr_controller)</t>
        </is>
      </c>
      <c r="G15" s="9" t="inlineStr">
        <is>
          <t>Feedback barely moves the sloshing frequency, as expected.</t>
        </is>
      </c>
    </row>
    <row r="16">
      <c r="A16" s="5" t="inlineStr">
        <is>
          <t>Froude number Fr</t>
        </is>
      </c>
      <c r="B16" s="5" t="inlineStr">
        <is>
          <t>-</t>
        </is>
      </c>
      <c r="C16" s="6">
        <f>'Hand calculations'!C34</f>
        <v/>
      </c>
      <c r="D16" s="7" t="n">
        <v>0.0538</v>
      </c>
      <c r="E16" s="8">
        <f>IF(C16=0,"-",(D16-C16)/C16)</f>
        <v/>
      </c>
      <c r="F16" s="9" t="inlineStr">
        <is>
          <t>scripts/compute_nondimensional_numbers.py output</t>
        </is>
      </c>
      <c r="G16" s="9" t="inlineStr">
        <is>
          <t>Fr &lt;&lt; 0.2: linear sloshing regime.</t>
        </is>
      </c>
    </row>
    <row r="17">
      <c r="A17" s="5" t="inlineStr">
        <is>
          <t>Reynolds number Re</t>
        </is>
      </c>
      <c r="B17" s="5" t="inlineStr">
        <is>
          <t>-</t>
        </is>
      </c>
      <c r="C17" s="10">
        <f>'Hand calculations'!C36</f>
        <v/>
      </c>
      <c r="D17" s="11" t="n">
        <v>76760</v>
      </c>
      <c r="E17" s="8">
        <f>IF(C17=0,"-",(D17-C17)/C17)</f>
        <v/>
      </c>
      <c r="F17" s="9" t="inlineStr">
        <is>
          <t>scripts/compute_nondimensional_numbers.py output</t>
        </is>
      </c>
      <c r="G17" s="9" t="inlineStr">
        <is>
          <t>Within the 1e4-1e5 lab-scale range.</t>
        </is>
      </c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12" t="inlineStr">
        <is>
          <t>How to read this</t>
        </is>
      </c>
      <c r="B19" s="2" t="n"/>
      <c r="C19" s="2" t="n"/>
      <c r="D19" s="2" t="n"/>
      <c r="E19" s="2" t="n"/>
      <c r="F19" s="2" t="n"/>
      <c r="G19" s="2" t="n"/>
    </row>
    <row r="20">
      <c r="A20" s="3" t="inlineStr">
        <is>
          <t>Rows 1-7 check that the code implements the textbook formulas correctly (errors should be ~0%).</t>
        </is>
      </c>
      <c r="B20" s="2" t="n"/>
      <c r="C20" s="2" t="n"/>
      <c r="D20" s="2" t="n"/>
      <c r="E20" s="2" t="n"/>
      <c r="F20" s="2" t="n"/>
      <c r="G20" s="2" t="n"/>
    </row>
    <row r="21">
      <c r="A21" s="3" t="inlineStr">
        <is>
          <t>Rows 8-11 are the real test: they compare the theory against what the simulations measured.</t>
        </is>
      </c>
      <c r="B21" s="2" t="n"/>
      <c r="C21" s="2" t="n"/>
      <c r="D21" s="2" t="n"/>
      <c r="E21" s="2" t="n"/>
      <c r="F21" s="2" t="n"/>
      <c r="G21" s="2" t="n"/>
    </row>
    <row r="22">
      <c r="A22" s="3" t="inlineStr">
        <is>
          <t>The real-fluid (SPH) frequency is 4-6% above both analytical models: good agreement for an equivalent model.</t>
        </is>
      </c>
      <c r="B22" s="2" t="n"/>
      <c r="C22" s="2" t="n"/>
      <c r="D22" s="2" t="n"/>
      <c r="E22" s="2" t="n"/>
      <c r="F22" s="2" t="n"/>
      <c r="G22" s="2" t="n"/>
    </row>
    <row r="23">
      <c r="A23" s="3" t="inlineStr">
        <is>
          <t>Colour key: blue = fixed numbers from runs/config, green = links to the hand-calculation sheet, black = formulas.</t>
        </is>
      </c>
      <c r="B23" s="2" t="n"/>
      <c r="C23" s="2" t="n"/>
      <c r="D23" s="2" t="n"/>
      <c r="E23" s="2" t="n"/>
      <c r="F23" s="2" t="n"/>
      <c r="G23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0" customWidth="1" min="4" max="4"/>
    <col width="60" customWidth="1" min="5" max="5"/>
  </cols>
  <sheetData>
    <row r="1">
      <c r="A1" s="1" t="inlineStr">
        <is>
          <t>Inputs (blue = values taken from the project's configuration)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4" t="inlineStr">
        <is>
          <t>Name</t>
        </is>
      </c>
      <c r="B3" s="4" t="inlineStr">
        <is>
          <t>Symbol</t>
        </is>
      </c>
      <c r="C3" s="4" t="inlineStr">
        <is>
          <t>Value</t>
        </is>
      </c>
      <c r="D3" s="4" t="inlineStr">
        <is>
          <t>Unit</t>
        </is>
      </c>
      <c r="E3" s="4" t="inlineStr">
        <is>
          <t>Source</t>
        </is>
      </c>
    </row>
    <row r="4">
      <c r="A4" s="13" t="inlineStr">
        <is>
          <t>Tank outer length (sloshing direction)</t>
        </is>
      </c>
      <c r="B4" s="13" t="inlineStr">
        <is>
          <t>L</t>
        </is>
      </c>
      <c r="C4" s="14" t="n">
        <v>0.4</v>
      </c>
      <c r="D4" s="13" t="inlineStr">
        <is>
          <t>m</t>
        </is>
      </c>
      <c r="E4" s="3" t="inlineStr">
        <is>
          <t>TankConfig.length</t>
        </is>
      </c>
    </row>
    <row r="5">
      <c r="A5" s="13" t="inlineStr">
        <is>
          <t>Tank outer width</t>
        </is>
      </c>
      <c r="B5" s="13" t="inlineStr">
        <is>
          <t>W</t>
        </is>
      </c>
      <c r="C5" s="14" t="n">
        <v>0.25</v>
      </c>
      <c r="D5" s="13" t="inlineStr">
        <is>
          <t>m</t>
        </is>
      </c>
      <c r="E5" s="3" t="inlineStr">
        <is>
          <t>TankConfig.width</t>
        </is>
      </c>
    </row>
    <row r="6">
      <c r="A6" s="13" t="inlineStr">
        <is>
          <t>Tank wall height</t>
        </is>
      </c>
      <c r="B6" s="13" t="inlineStr">
        <is>
          <t>h</t>
        </is>
      </c>
      <c r="C6" s="14" t="n">
        <v>0.3</v>
      </c>
      <c r="D6" s="13" t="inlineStr">
        <is>
          <t>m</t>
        </is>
      </c>
      <c r="E6" s="3" t="inlineStr">
        <is>
          <t>TankConfig.height</t>
        </is>
      </c>
    </row>
    <row r="7">
      <c r="A7" s="13" t="inlineStr">
        <is>
          <t>Wall thickness</t>
        </is>
      </c>
      <c r="B7" s="13" t="inlineStr">
        <is>
          <t>t</t>
        </is>
      </c>
      <c r="C7" s="14" t="n">
        <v>0.006</v>
      </c>
      <c r="D7" s="13" t="inlineStr">
        <is>
          <t>m</t>
        </is>
      </c>
      <c r="E7" s="3" t="inlineStr">
        <is>
          <t>TankConfig.wall_thickness (6 mm cast acrylic)</t>
        </is>
      </c>
    </row>
    <row r="8">
      <c r="A8" s="13" t="inlineStr">
        <is>
          <t>Acrylic density</t>
        </is>
      </c>
      <c r="B8" s="13" t="inlineStr">
        <is>
          <r>
            <rPr>
              <rFont val="Arial"/>
              <color rgb="00000000"/>
              <sz val="11"/>
            </rPr>
            <t>ρ</t>
          </r>
          <r>
            <rPr>
              <rFont val="Arial"/>
              <color rgb="00000000"/>
              <sz val="11"/>
              <vertAlign val="subscript"/>
            </rPr>
            <t>t</t>
          </r>
        </is>
      </c>
      <c r="C8" s="14" t="n">
        <v>1180</v>
      </c>
      <c r="D8" s="13" t="inlineStr">
        <is>
          <t>kg/m³</t>
        </is>
      </c>
      <c r="E8" s="3" t="inlineStr">
        <is>
          <t>TankConfig.density (PMMA)</t>
        </is>
      </c>
    </row>
    <row r="9">
      <c r="A9" s="13" t="inlineStr">
        <is>
          <t>Water fill height</t>
        </is>
      </c>
      <c r="B9" s="13" t="inlineStr">
        <is>
          <t>H</t>
        </is>
      </c>
      <c r="C9" s="14" t="n">
        <v>0.2</v>
      </c>
      <c r="D9" s="13" t="inlineStr">
        <is>
          <t>m</t>
        </is>
      </c>
      <c r="E9" s="3" t="inlineStr">
        <is>
          <t>FluidConfig.fill_height</t>
        </is>
      </c>
    </row>
    <row r="10">
      <c r="A10" s="13" t="inlineStr">
        <is>
          <t>Water density</t>
        </is>
      </c>
      <c r="B10" s="13" t="inlineStr">
        <is>
          <t>ρ</t>
        </is>
      </c>
      <c r="C10" s="14" t="n">
        <v>1000</v>
      </c>
      <c r="D10" s="13" t="inlineStr">
        <is>
          <t>kg/m³</t>
        </is>
      </c>
      <c r="E10" s="3" t="inlineStr">
        <is>
          <t>FluidConfig.density</t>
        </is>
      </c>
    </row>
    <row r="11">
      <c r="A11" s="13" t="inlineStr">
        <is>
          <t>Gravity</t>
        </is>
      </c>
      <c r="B11" s="13" t="inlineStr">
        <is>
          <t>g</t>
        </is>
      </c>
      <c r="C11" s="14" t="n">
        <v>9.81</v>
      </c>
      <c r="D11" s="13" t="inlineStr">
        <is>
          <t>m/s²</t>
        </is>
      </c>
      <c r="E11" s="3" t="inlineStr">
        <is>
          <t>WorldConfig.gravity</t>
        </is>
      </c>
    </row>
    <row r="12">
      <c r="A12" s="13" t="inlineStr">
        <is>
          <t>Water dynamic viscosity (20 C)</t>
        </is>
      </c>
      <c r="B12" s="13" t="inlineStr">
        <is>
          <t>μ</t>
        </is>
      </c>
      <c r="C12" s="14" t="n">
        <v>0.001</v>
      </c>
      <c r="D12" s="13" t="inlineStr">
        <is>
          <t>Pa·s</t>
        </is>
      </c>
      <c r="E12" s="3" t="inlineStr">
        <is>
          <t>Standard property; scripts/compute_nondimensional_numbers.py</t>
        </is>
      </c>
    </row>
    <row r="13">
      <c r="A13" s="13" t="inlineStr">
        <is>
          <t>Motor drive amplitude</t>
        </is>
      </c>
      <c r="B13" s="13" t="inlineStr">
        <is>
          <t>A</t>
        </is>
      </c>
      <c r="C13" s="14" t="n">
        <v>0.15</v>
      </c>
      <c r="D13" s="13" t="inlineStr">
        <is>
          <t>rad</t>
        </is>
      </c>
      <c r="E13" s="3" t="inlineStr">
        <is>
          <t>MotorConfig.amplitude_rad</t>
        </is>
      </c>
    </row>
    <row r="14">
      <c r="A14" s="13" t="inlineStr">
        <is>
          <t>Motor drive frequency</t>
        </is>
      </c>
      <c r="B14" s="13" t="inlineStr">
        <is>
          <r>
            <rPr>
              <rFont val="Arial"/>
              <color rgb="00000000"/>
              <sz val="11"/>
            </rPr>
            <t>f</t>
          </r>
          <r>
            <rPr>
              <rFont val="Arial"/>
              <color rgb="00000000"/>
              <sz val="11"/>
              <vertAlign val="subscript"/>
            </rPr>
            <t>d</t>
          </r>
        </is>
      </c>
      <c r="C14" s="14" t="n">
        <v>0.4</v>
      </c>
      <c r="D14" s="13" t="inlineStr">
        <is>
          <t>Hz</t>
        </is>
      </c>
      <c r="E14" s="3" t="inlineStr">
        <is>
          <t>MotorConfig.frequency_hz</t>
        </is>
      </c>
    </row>
    <row r="15">
      <c r="A15" s="13" t="inlineStr">
        <is>
          <t>Wave tilt used for Reynolds number</t>
        </is>
      </c>
      <c r="B15" s="13" t="inlineStr">
        <is>
          <r>
            <rPr>
              <rFont val="Arial"/>
              <color rgb="00000000"/>
              <sz val="11"/>
            </rPr>
            <t>θ</t>
          </r>
          <r>
            <rPr>
              <rFont val="Arial"/>
              <color rgb="00000000"/>
              <sz val="11"/>
              <vertAlign val="subscript"/>
            </rPr>
            <t>w</t>
          </r>
        </is>
      </c>
      <c r="C15" s="14" t="n">
        <v>9.5</v>
      </c>
      <c r="D15" s="13" t="inlineStr">
        <is>
          <t>deg</t>
        </is>
      </c>
      <c r="E15" s="3" t="inlineStr">
        <is>
          <t>Observed ~9-10 deg in the resonance demo (main.py --fluid-viz-resonance)</t>
        </is>
      </c>
    </row>
    <row r="16">
      <c r="A16" s="13" t="inlineStr">
        <is>
          <t>Liquid damping ratio</t>
        </is>
      </c>
      <c r="B16" s="13" t="inlineStr">
        <is>
          <t>ζ</t>
        </is>
      </c>
      <c r="C16" s="14" t="n">
        <v>0.005</v>
      </c>
      <c r="D16" s="13" t="inlineStr">
        <is>
          <t>-</t>
        </is>
      </c>
      <c r="E16" s="3" t="inlineStr">
        <is>
          <t>FluidConfig.damping_ratio (Sivy et al. 2017)</t>
        </is>
      </c>
    </row>
    <row r="17">
      <c r="A17" s="2" t="n"/>
      <c r="B17" s="2" t="n"/>
      <c r="C17" s="2" t="n"/>
      <c r="D17" s="2" t="n"/>
      <c r="E17" s="2" t="n"/>
    </row>
    <row r="18">
      <c r="A18" s="3" t="inlineStr">
        <is>
          <t>Change a blue input and every hand calculation updates. Simulation values (grey cells on the comparison sheet) are fixed results from runs and do not change.</t>
        </is>
      </c>
      <c r="B18" s="2" t="n"/>
      <c r="C18" s="2" t="n"/>
      <c r="D18" s="2" t="n"/>
      <c r="E1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52" customWidth="1" min="1" max="1"/>
    <col width="46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8" customWidth="1" min="8" max="8"/>
    <col width="18" customWidth="1" min="9" max="9"/>
  </cols>
  <sheetData>
    <row r="1" ht="22" customHeight="1">
      <c r="A1" s="1" t="inlineStr">
        <is>
          <t>Hand calculations (every number below is an Excel formula)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15" customHeight="1">
      <c r="A3" s="12" t="inlineStr">
        <is>
          <t>1. Tank mass and inertia from its five acrylic plates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30" customHeight="1">
      <c r="A4" s="4" t="inlineStr">
        <is>
          <t>Plate</t>
        </is>
      </c>
      <c r="B4" s="4" t="inlineStr">
        <is>
          <t>dim x (m)</t>
        </is>
      </c>
      <c r="C4" s="4" t="inlineStr">
        <is>
          <t>dim y (m)</t>
        </is>
      </c>
      <c r="D4" s="4" t="inlineStr">
        <is>
          <t>dim z (m)</t>
        </is>
      </c>
      <c r="E4" s="4" t="inlineStr">
        <is>
          <t>centre x (m)</t>
        </is>
      </c>
      <c r="F4" s="4" t="inlineStr">
        <is>
          <t>centre y (m)</t>
        </is>
      </c>
      <c r="G4" s="4" t="inlineStr">
        <is>
          <t>mass (kg)</t>
        </is>
      </c>
      <c r="H4" s="4" t="inlineStr">
        <is>
          <t>I about own centre (kg·m²)</t>
        </is>
      </c>
      <c r="I4" s="4" t="inlineStr">
        <is>
          <t>I about pivot O (kg·m²)</t>
        </is>
      </c>
    </row>
    <row r="5" ht="15" customHeight="1">
      <c r="A5" s="13" t="inlineStr">
        <is>
          <t>Base</t>
        </is>
      </c>
      <c r="B5" s="15">
        <f>Inputs!$C$4</f>
        <v/>
      </c>
      <c r="C5" s="15">
        <f>Inputs!$C$7</f>
        <v/>
      </c>
      <c r="D5" s="15">
        <f>Inputs!$C$5</f>
        <v/>
      </c>
      <c r="E5" s="15">
        <f>0</f>
        <v/>
      </c>
      <c r="F5" s="15">
        <f>-Inputs!$C$7/2</f>
        <v/>
      </c>
      <c r="G5" s="13">
        <f>Inputs!$C$8*B5*C5*D5</f>
        <v/>
      </c>
      <c r="H5" s="13">
        <f>G5*(B5^2+C5^2)/12</f>
        <v/>
      </c>
      <c r="I5" s="13">
        <f>H5+G5*(E5^2+F5^2)</f>
        <v/>
      </c>
    </row>
    <row r="6" ht="15" customHeight="1">
      <c r="A6" s="13" t="inlineStr">
        <is>
          <t>Side wall (+z)</t>
        </is>
      </c>
      <c r="B6" s="15">
        <f>Inputs!$C$4</f>
        <v/>
      </c>
      <c r="C6" s="15">
        <f>Inputs!$C$6</f>
        <v/>
      </c>
      <c r="D6" s="15">
        <f>Inputs!$C$7</f>
        <v/>
      </c>
      <c r="E6" s="15">
        <f>0</f>
        <v/>
      </c>
      <c r="F6" s="15">
        <f>Inputs!$C$6/2</f>
        <v/>
      </c>
      <c r="G6" s="13">
        <f>Inputs!$C$8*B6*C6*D6</f>
        <v/>
      </c>
      <c r="H6" s="13">
        <f>G6*(B6^2+C6^2)/12</f>
        <v/>
      </c>
      <c r="I6" s="13">
        <f>H6+G6*(E6^2+F6^2)</f>
        <v/>
      </c>
    </row>
    <row r="7" ht="15" customHeight="1">
      <c r="A7" s="13" t="inlineStr">
        <is>
          <t>Side wall (-z)</t>
        </is>
      </c>
      <c r="B7" s="15">
        <f>Inputs!$C$4</f>
        <v/>
      </c>
      <c r="C7" s="15">
        <f>Inputs!$C$6</f>
        <v/>
      </c>
      <c r="D7" s="15">
        <f>Inputs!$C$7</f>
        <v/>
      </c>
      <c r="E7" s="15">
        <f>0</f>
        <v/>
      </c>
      <c r="F7" s="15">
        <f>Inputs!$C$6/2</f>
        <v/>
      </c>
      <c r="G7" s="13">
        <f>Inputs!$C$8*B7*C7*D7</f>
        <v/>
      </c>
      <c r="H7" s="13">
        <f>G7*(B7^2+C7^2)/12</f>
        <v/>
      </c>
      <c r="I7" s="13">
        <f>H7+G7*(E7^2+F7^2)</f>
        <v/>
      </c>
    </row>
    <row r="8" ht="15" customHeight="1">
      <c r="A8" s="13" t="inlineStr">
        <is>
          <t>End wall (+x)</t>
        </is>
      </c>
      <c r="B8" s="15">
        <f>Inputs!$C$7</f>
        <v/>
      </c>
      <c r="C8" s="15">
        <f>Inputs!$C$6</f>
        <v/>
      </c>
      <c r="D8" s="15">
        <f>Inputs!$C$5</f>
        <v/>
      </c>
      <c r="E8" s="15">
        <f>Inputs!$C$4/2-Inputs!$C$7/2</f>
        <v/>
      </c>
      <c r="F8" s="15">
        <f>Inputs!$C$6/2</f>
        <v/>
      </c>
      <c r="G8" s="13">
        <f>Inputs!$C$8*B8*C8*D8</f>
        <v/>
      </c>
      <c r="H8" s="13">
        <f>G8*(B8^2+C8^2)/12</f>
        <v/>
      </c>
      <c r="I8" s="13">
        <f>H8+G8*(E8^2+F8^2)</f>
        <v/>
      </c>
    </row>
    <row r="9" ht="15" customHeight="1">
      <c r="A9" s="13" t="inlineStr">
        <is>
          <t>End wall (-x)</t>
        </is>
      </c>
      <c r="B9" s="15">
        <f>Inputs!$C$7</f>
        <v/>
      </c>
      <c r="C9" s="15">
        <f>Inputs!$C$6</f>
        <v/>
      </c>
      <c r="D9" s="15">
        <f>Inputs!$C$5</f>
        <v/>
      </c>
      <c r="E9" s="15">
        <f>-(Inputs!$C$4/2-Inputs!$C$7/2)</f>
        <v/>
      </c>
      <c r="F9" s="15">
        <f>Inputs!$C$6/2</f>
        <v/>
      </c>
      <c r="G9" s="13">
        <f>Inputs!$C$8*B9*C9*D9</f>
        <v/>
      </c>
      <c r="H9" s="13">
        <f>G9*(B9^2+C9^2)/12</f>
        <v/>
      </c>
      <c r="I9" s="13">
        <f>H9+G9*(E9^2+F9^2)</f>
        <v/>
      </c>
    </row>
    <row r="10" ht="15" customHeight="1">
      <c r="A10" s="12" t="inlineStr">
        <is>
          <t>Total</t>
        </is>
      </c>
      <c r="B10" s="2" t="n"/>
      <c r="C10" s="2" t="n"/>
      <c r="D10" s="2" t="n"/>
      <c r="E10" s="2" t="n"/>
      <c r="F10" s="2" t="n"/>
      <c r="G10" s="2">
        <f>SUM(G5:G9)</f>
        <v/>
      </c>
      <c r="H10" s="2" t="n"/>
      <c r="I10" s="2">
        <f>SUM(I5:I9)</f>
        <v/>
      </c>
    </row>
    <row r="11" ht="15" customHeight="1">
      <c r="A11" s="2" t="inlineStr">
        <is>
          <r>
            <rPr>
              <rFont val="Arial"/>
              <color rgb="00000000"/>
              <sz val="11"/>
            </rPr>
            <t>Tank centre of mass height above pivot O, h</t>
          </r>
          <r>
            <rPr>
              <rFont val="Arial"/>
              <color rgb="00000000"/>
              <sz val="11"/>
              <vertAlign val="subscript"/>
            </rPr>
            <t>t</t>
          </r>
          <r>
            <rPr>
              <rFont val="Arial"/>
              <color rgb="00000000"/>
              <sz val="11"/>
            </rPr>
            <t xml:space="preserve"> = Σ(m·y) / Σm (m)</t>
          </r>
        </is>
      </c>
      <c r="B11" s="2" t="n"/>
      <c r="C11" s="2" t="n"/>
      <c r="D11" s="2" t="n"/>
      <c r="E11" s="2" t="n"/>
      <c r="F11" s="2" t="n"/>
      <c r="G11" s="2">
        <f>SUMPRODUCT(G5:G9,F5:F9)/G10</f>
        <v/>
      </c>
      <c r="H11" s="2" t="n"/>
      <c r="I11" s="2" t="n"/>
    </row>
    <row r="12" ht="15" customHeight="1">
      <c r="A12" s="3" t="inlineStr">
        <is>
          <r>
            <rPr>
              <rFont val="Arial"/>
              <i val="1"/>
              <color rgb="00666666"/>
              <sz val="9"/>
            </rPr>
            <t>Plate mass: m = ρ</t>
          </r>
          <r>
            <rPr>
              <rFont val="Arial"/>
              <i val="1"/>
              <color rgb="00666666"/>
              <sz val="9"/>
              <vertAlign val="subscript"/>
            </rPr>
            <t>t</t>
          </r>
          <r>
            <rPr>
              <rFont val="Arial"/>
              <i val="1"/>
              <color rgb="00666666"/>
              <sz val="9"/>
            </rPr>
            <t>·a·b·c.   Inertia about O: I</t>
          </r>
          <r>
            <rPr>
              <rFont val="Arial"/>
              <i val="1"/>
              <color rgb="00666666"/>
              <sz val="9"/>
              <vertAlign val="subscript"/>
            </rPr>
            <t>O</t>
          </r>
          <r>
            <rPr>
              <rFont val="Arial"/>
              <i val="1"/>
              <color rgb="00666666"/>
              <sz val="9"/>
            </rPr>
            <t xml:space="preserve"> = m(a</t>
          </r>
          <r>
            <rPr>
              <rFont val="Arial"/>
              <i val="1"/>
              <color rgb="00666666"/>
              <sz val="9"/>
              <vertAlign val="superscript"/>
            </rPr>
            <t>2</t>
          </r>
          <r>
            <rPr>
              <rFont val="Arial"/>
              <i val="1"/>
              <color rgb="00666666"/>
              <sz val="9"/>
            </rPr>
            <t xml:space="preserve"> + b</t>
          </r>
          <r>
            <rPr>
              <rFont val="Arial"/>
              <i val="1"/>
              <color rgb="00666666"/>
              <sz val="9"/>
              <vertAlign val="superscript"/>
            </rPr>
            <t>2</t>
          </r>
          <r>
            <rPr>
              <rFont val="Arial"/>
              <i val="1"/>
              <color rgb="00666666"/>
              <sz val="9"/>
            </rPr>
            <t>)/12 + m(x</t>
          </r>
          <r>
            <rPr>
              <rFont val="Arial"/>
              <i val="1"/>
              <color rgb="00666666"/>
              <sz val="9"/>
              <vertAlign val="superscript"/>
            </rPr>
            <t>2</t>
          </r>
          <r>
            <rPr>
              <rFont val="Arial"/>
              <i val="1"/>
              <color rgb="00666666"/>
              <sz val="9"/>
            </rPr>
            <t xml:space="preserve"> + y</t>
          </r>
          <r>
            <rPr>
              <rFont val="Arial"/>
              <i val="1"/>
              <color rgb="00666666"/>
              <sz val="9"/>
              <vertAlign val="superscript"/>
            </rPr>
            <t>2</t>
          </r>
          <r>
            <rPr>
              <rFont val="Arial"/>
              <i val="1"/>
              <color rgb="00666666"/>
              <sz val="9"/>
            </rPr>
            <t>)  (parallel-axis theorem; rotation axis z through O)</t>
          </r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 ht="1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 ht="15" customHeight="1">
      <c r="A14" s="12" t="inlineStr">
        <is>
          <t>2. Housner (1963) / ACI 350.3-06 equivalent model of the water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 ht="15" customHeight="1">
      <c r="A15" s="4" t="inlineStr">
        <is>
          <t>Quantity</t>
        </is>
      </c>
      <c r="B15" s="4" t="inlineStr">
        <is>
          <t>Formula</t>
        </is>
      </c>
      <c r="C15" s="4" t="inlineStr">
        <is>
          <t>Value</t>
        </is>
      </c>
      <c r="D15" s="2" t="n"/>
      <c r="E15" s="2" t="n"/>
      <c r="F15" s="2" t="n"/>
      <c r="G15" s="2" t="n"/>
      <c r="H15" s="2" t="n"/>
      <c r="I15" s="2" t="n"/>
    </row>
    <row r="16" ht="26.16" customHeight="1">
      <c r="A16" s="16" t="inlineStr">
        <is>
          <t>Total water mass m (kg)</t>
        </is>
      </c>
      <c r="B16" s="13" t="n"/>
      <c r="C16" s="16">
        <f>Inputs!$C$10*Inputs!$C$4*Inputs!$C$5*Inputs!$C$9</f>
        <v/>
      </c>
      <c r="D16" s="2" t="n"/>
      <c r="E16" s="2" t="n"/>
      <c r="F16" s="2" t="n"/>
      <c r="G16" s="2" t="n"/>
      <c r="H16" s="2" t="n"/>
      <c r="I16" s="2" t="n"/>
    </row>
    <row r="17" ht="39.12" customHeight="1">
      <c r="A17" s="16" t="inlineStr">
        <is>
          <t>Aspect ratio L/H (-)</t>
        </is>
      </c>
      <c r="B17" s="13" t="n"/>
      <c r="C17" s="16">
        <f>Inputs!$C$4/Inputs!$C$9</f>
        <v/>
      </c>
      <c r="D17" s="2" t="n"/>
      <c r="E17" s="2" t="n"/>
      <c r="F17" s="2" t="n"/>
      <c r="G17" s="2" t="n"/>
      <c r="H17" s="2" t="n"/>
      <c r="I17" s="2" t="n"/>
    </row>
    <row r="18" ht="40.56" customHeight="1">
      <c r="A18" s="16" t="inlineStr">
        <is>
          <r>
            <rPr>
              <rFont val="Arial"/>
              <color rgb="00000000"/>
              <sz val="11"/>
            </rPr>
            <t>Impulsive mass m</t>
          </r>
          <r>
            <rPr>
              <rFont val="Arial"/>
              <color rgb="00000000"/>
              <sz val="11"/>
              <vertAlign val="subscript"/>
            </rPr>
            <t>i</t>
          </r>
          <r>
            <rPr>
              <rFont val="Arial"/>
              <color rgb="00000000"/>
              <sz val="11"/>
            </rPr>
            <t xml:space="preserve"> (kg)</t>
          </r>
        </is>
      </c>
      <c r="B18" s="13" t="n"/>
      <c r="C18" s="16">
        <f>TANH(0.866*C17)/(0.866*C17)*C16</f>
        <v/>
      </c>
      <c r="D18" s="2" t="n"/>
      <c r="E18" s="2" t="n"/>
      <c r="F18" s="2" t="n"/>
      <c r="G18" s="2" t="n"/>
      <c r="H18" s="2" t="n"/>
      <c r="I18" s="2" t="n"/>
    </row>
    <row r="19" ht="39.12" customHeight="1">
      <c r="A19" s="16" t="inlineStr">
        <is>
          <r>
            <rPr>
              <rFont val="Arial"/>
              <color rgb="00000000"/>
              <sz val="11"/>
            </rPr>
            <t>Convective mass m</t>
          </r>
          <r>
            <rPr>
              <rFont val="Arial"/>
              <color rgb="00000000"/>
              <sz val="11"/>
              <vertAlign val="subscript"/>
            </rPr>
            <t>c</t>
          </r>
          <r>
            <rPr>
              <rFont val="Arial"/>
              <color rgb="00000000"/>
              <sz val="11"/>
            </rPr>
            <t xml:space="preserve"> (kg)</t>
          </r>
        </is>
      </c>
      <c r="B19" s="13" t="n"/>
      <c r="C19" s="16">
        <f>0.264*C17*TANH(3.16*Inputs!$C$9/Inputs!$C$4)*C16</f>
        <v/>
      </c>
      <c r="D19" s="2" t="n"/>
      <c r="E19" s="2" t="n"/>
      <c r="F19" s="2" t="n"/>
      <c r="G19" s="2" t="n"/>
      <c r="H19" s="2" t="n"/>
      <c r="I19" s="2" t="n"/>
    </row>
    <row r="20" ht="39.12" customHeight="1">
      <c r="A20" s="16" t="inlineStr">
        <is>
          <r>
            <rPr>
              <rFont val="Arial"/>
              <color rgb="00000000"/>
              <sz val="11"/>
            </rPr>
            <t>Impulsive height h</t>
          </r>
          <r>
            <rPr>
              <rFont val="Arial"/>
              <color rgb="00000000"/>
              <sz val="11"/>
              <vertAlign val="subscript"/>
            </rPr>
            <t>i</t>
          </r>
          <r>
            <rPr>
              <rFont val="Arial"/>
              <color rgb="00000000"/>
              <sz val="11"/>
            </rPr>
            <t xml:space="preserve"> (m)</t>
          </r>
        </is>
      </c>
      <c r="B20" s="13" t="n"/>
      <c r="C20" s="16">
        <f>IF(C17&gt;=1.333,0.5-0.09375*C17,0.375)*Inputs!$C$9</f>
        <v/>
      </c>
      <c r="D20" s="2" t="n"/>
      <c r="E20" s="2" t="n"/>
      <c r="F20" s="2" t="n"/>
      <c r="G20" s="2" t="n"/>
      <c r="H20" s="2" t="n"/>
      <c r="I20" s="2" t="n"/>
    </row>
    <row r="21" ht="42" customHeight="1">
      <c r="A21" s="16" t="inlineStr">
        <is>
          <r>
            <rPr>
              <rFont val="Arial"/>
              <color rgb="00000000"/>
              <sz val="11"/>
            </rPr>
            <t>Convective height h</t>
          </r>
          <r>
            <rPr>
              <rFont val="Arial"/>
              <color rgb="00000000"/>
              <sz val="11"/>
              <vertAlign val="subscript"/>
            </rPr>
            <t>c</t>
          </r>
          <r>
            <rPr>
              <rFont val="Arial"/>
              <color rgb="00000000"/>
              <sz val="11"/>
            </rPr>
            <t xml:space="preserve"> (m)</t>
          </r>
        </is>
      </c>
      <c r="B21" s="13" t="n"/>
      <c r="C21" s="16">
        <f>(1-(COSH(3.16*Inputs!$C$9/Inputs!$C$4)-1)/(3.16*Inputs!$C$9/Inputs!$C$4*SINH(3.16*Inputs!$C$9/Inputs!$C$4)))*Inputs!$C$9</f>
        <v/>
      </c>
      <c r="D21" s="2" t="n"/>
      <c r="E21" s="2" t="n"/>
      <c r="F21" s="2" t="n"/>
      <c r="G21" s="2" t="n"/>
      <c r="H21" s="2" t="n"/>
      <c r="I21" s="2" t="n"/>
    </row>
    <row r="22" ht="43.8" customHeight="1">
      <c r="A22" s="16" t="inlineStr">
        <is>
          <r>
            <rPr>
              <rFont val="Arial"/>
              <color rgb="00000000"/>
              <sz val="11"/>
            </rPr>
            <t>Sloshing natural frequency ω</t>
          </r>
          <r>
            <rPr>
              <rFont val="Arial"/>
              <color rgb="00000000"/>
              <sz val="11"/>
              <vertAlign val="subscript"/>
            </rPr>
            <t>n</t>
          </r>
          <r>
            <rPr>
              <rFont val="Arial"/>
              <color rgb="00000000"/>
              <sz val="11"/>
            </rPr>
            <t xml:space="preserve"> (rad/s)</t>
          </r>
        </is>
      </c>
      <c r="B22" s="13" t="n"/>
      <c r="C22" s="16">
        <f>SQRT(3.16*Inputs!$C$11/Inputs!$C$4*TANH(3.16*Inputs!$C$9/Inputs!$C$4))</f>
        <v/>
      </c>
      <c r="D22" s="2" t="n"/>
      <c r="E22" s="2" t="n"/>
      <c r="F22" s="2" t="n"/>
      <c r="G22" s="2" t="n"/>
      <c r="H22" s="2" t="n"/>
      <c r="I22" s="2" t="n"/>
    </row>
    <row r="23" ht="36.96" customHeight="1">
      <c r="A23" s="16" t="inlineStr">
        <is>
          <r>
            <rPr>
              <rFont val="Arial"/>
              <color rgb="00000000"/>
              <sz val="11"/>
            </rPr>
            <t>Sloshing natural frequency f</t>
          </r>
          <r>
            <rPr>
              <rFont val="Arial"/>
              <color rgb="00000000"/>
              <sz val="11"/>
              <vertAlign val="subscript"/>
            </rPr>
            <t>n</t>
          </r>
          <r>
            <rPr>
              <rFont val="Arial"/>
              <color rgb="00000000"/>
              <sz val="11"/>
            </rPr>
            <t xml:space="preserve"> (Hz)</t>
          </r>
        </is>
      </c>
      <c r="B23" s="13" t="n"/>
      <c r="C23" s="16">
        <f>C22/(2*PI())</f>
        <v/>
      </c>
      <c r="D23" s="2" t="n"/>
      <c r="E23" s="2" t="n"/>
      <c r="F23" s="2" t="n"/>
      <c r="G23" s="2" t="n"/>
      <c r="H23" s="2" t="n"/>
      <c r="I23" s="2" t="n"/>
    </row>
    <row r="24" ht="42.36" customHeight="1">
      <c r="A24" s="16" t="inlineStr">
        <is>
          <r>
            <rPr>
              <rFont val="Arial"/>
              <color rgb="00000000"/>
              <sz val="11"/>
            </rPr>
            <t>Equivalent pendulum length L</t>
          </r>
          <r>
            <rPr>
              <rFont val="Arial"/>
              <color rgb="00000000"/>
              <sz val="11"/>
              <vertAlign val="subscript"/>
            </rPr>
            <t>p</t>
          </r>
          <r>
            <rPr>
              <rFont val="Arial"/>
              <color rgb="00000000"/>
              <sz val="11"/>
            </rPr>
            <t xml:space="preserve"> (m)</t>
          </r>
        </is>
      </c>
      <c r="B24" s="13" t="n"/>
      <c r="C24" s="16">
        <f>Inputs!$C$11/C22^2</f>
        <v/>
      </c>
      <c r="D24" s="2" t="n"/>
      <c r="E24" s="2" t="n"/>
      <c r="F24" s="2" t="n"/>
      <c r="G24" s="2" t="n"/>
      <c r="H24" s="2" t="n"/>
      <c r="I24" s="2" t="n"/>
    </row>
    <row r="25" ht="37.67999999999999" customHeight="1">
      <c r="A25" s="16" t="inlineStr">
        <is>
          <t>Modelled mass fraction (-)</t>
        </is>
      </c>
      <c r="B25" s="13" t="n"/>
      <c r="C25" s="16">
        <f>(C18+C19)/C16</f>
        <v/>
      </c>
      <c r="D25" s="2" t="n"/>
      <c r="E25" s="2" t="n"/>
      <c r="F25" s="2" t="n"/>
      <c r="G25" s="2" t="n"/>
      <c r="H25" s="2" t="n"/>
      <c r="I25" s="2" t="n"/>
    </row>
    <row r="26" ht="1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 ht="15" customHeight="1">
      <c r="A27" s="12" t="inlineStr">
        <is>
          <t>3. Exact linear potential-flow sloshing frequency (alternative analytical check)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 ht="26.16" customHeight="1">
      <c r="A28" s="17" t="inlineStr">
        <is>
          <r>
            <rPr>
              <rFont val="Arial"/>
              <color rgb="00000000"/>
              <sz val="11"/>
            </rPr>
            <t>Inner tank length L</t>
          </r>
          <r>
            <rPr>
              <rFont val="Arial"/>
              <color rgb="00000000"/>
              <sz val="11"/>
              <vertAlign val="subscript"/>
            </rPr>
            <t>in</t>
          </r>
          <r>
            <rPr>
              <rFont val="Arial"/>
              <color rgb="00000000"/>
              <sz val="11"/>
            </rPr>
            <t xml:space="preserve"> (m)</t>
          </r>
        </is>
      </c>
      <c r="B28" s="2" t="n"/>
      <c r="C28" s="17">
        <f>Inputs!$C$4-2*Inputs!$C$7</f>
        <v/>
      </c>
      <c r="D28" s="2" t="n"/>
      <c r="E28" s="2" t="n"/>
      <c r="F28" s="2" t="n"/>
      <c r="G28" s="2" t="n"/>
      <c r="H28" s="2" t="n"/>
      <c r="I28" s="2" t="n"/>
    </row>
    <row r="29" ht="45.24" customHeight="1">
      <c r="A29" s="17" t="inlineStr">
        <is>
          <r>
            <rPr>
              <rFont val="Arial"/>
              <color rgb="00000000"/>
              <sz val="11"/>
            </rPr>
            <t>First-mode frequency ω</t>
          </r>
          <r>
            <rPr>
              <rFont val="Arial"/>
              <color rgb="00000000"/>
              <sz val="11"/>
              <vertAlign val="subscript"/>
            </rPr>
            <t>1</t>
          </r>
          <r>
            <rPr>
              <rFont val="Arial"/>
              <color rgb="00000000"/>
              <sz val="11"/>
            </rPr>
            <t xml:space="preserve"> (rad/s)</t>
          </r>
        </is>
      </c>
      <c r="B29" s="2" t="n"/>
      <c r="C29" s="17">
        <f>SQRT(PI()*Inputs!$C$11/C28*TANH(PI()*Inputs!$C$9/C28))</f>
        <v/>
      </c>
      <c r="D29" s="2" t="n"/>
      <c r="E29" s="2" t="n"/>
      <c r="F29" s="2" t="n"/>
      <c r="G29" s="2" t="n"/>
      <c r="H29" s="2" t="n"/>
      <c r="I29" s="2" t="n"/>
    </row>
    <row r="30" ht="36.96" customHeight="1">
      <c r="A30" s="17" t="inlineStr">
        <is>
          <r>
            <rPr>
              <rFont val="Arial"/>
              <color rgb="00000000"/>
              <sz val="11"/>
            </rPr>
            <t>First-mode frequency f</t>
          </r>
          <r>
            <rPr>
              <rFont val="Arial"/>
              <color rgb="00000000"/>
              <sz val="11"/>
              <vertAlign val="subscript"/>
            </rPr>
            <t>1</t>
          </r>
          <r>
            <rPr>
              <rFont val="Arial"/>
              <color rgb="00000000"/>
              <sz val="11"/>
            </rPr>
            <t xml:space="preserve"> (Hz)</t>
          </r>
        </is>
      </c>
      <c r="B30" s="2" t="n"/>
      <c r="C30" s="17">
        <f>C29/(2*PI())</f>
        <v/>
      </c>
      <c r="D30" s="2" t="n"/>
      <c r="E30" s="2" t="n"/>
      <c r="F30" s="2" t="n"/>
      <c r="G30" s="2" t="n"/>
      <c r="H30" s="2" t="n"/>
      <c r="I30" s="2" t="n"/>
    </row>
    <row r="31" ht="1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 ht="15" customHeight="1">
      <c r="A32" s="12" t="inlineStr">
        <is>
          <t>4. Non-dimensional numbers (flow regime)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26.16" customHeight="1">
      <c r="A33" s="17" t="inlineStr">
        <is>
          <r>
            <rPr>
              <rFont val="Arial"/>
              <color rgb="00000000"/>
              <sz val="11"/>
            </rPr>
            <t>Peak tank angular velocity Ω</t>
          </r>
          <r>
            <rPr>
              <rFont val="Arial"/>
              <color rgb="00000000"/>
              <sz val="11"/>
              <vertAlign val="subscript"/>
            </rPr>
            <t>max</t>
          </r>
          <r>
            <rPr>
              <rFont val="Arial"/>
              <color rgb="00000000"/>
              <sz val="11"/>
            </rPr>
            <t xml:space="preserve"> (rad/s)</t>
          </r>
        </is>
      </c>
      <c r="B33" s="2" t="n"/>
      <c r="C33" s="17">
        <f>Inputs!$C$13*2*PI()*Inputs!$C$14</f>
        <v/>
      </c>
      <c r="D33" s="2" t="n"/>
      <c r="E33" s="2" t="n"/>
      <c r="F33" s="2" t="n"/>
      <c r="G33" s="2" t="n"/>
      <c r="H33" s="2" t="n"/>
      <c r="I33" s="2" t="n"/>
    </row>
    <row r="34" ht="45.59999999999999" customHeight="1">
      <c r="A34" s="17" t="inlineStr">
        <is>
          <t>Froude number Fr (-)</t>
        </is>
      </c>
      <c r="B34" s="2" t="n"/>
      <c r="C34" s="17">
        <f>C33*(Inputs!$C$4/2)/SQRT(Inputs!$C$11*Inputs!$C$9)</f>
        <v/>
      </c>
      <c r="D34" s="2" t="n"/>
      <c r="E34" s="2" t="n"/>
      <c r="F34" s="2" t="n"/>
      <c r="G34" s="2" t="n"/>
      <c r="H34" s="2" t="n"/>
      <c r="I34" s="2" t="n"/>
    </row>
    <row r="35" ht="26.88" customHeight="1">
      <c r="A35" s="17" t="inlineStr">
        <is>
          <r>
            <rPr>
              <rFont val="Arial"/>
              <color rgb="00000000"/>
              <sz val="11"/>
            </rPr>
            <t>Wave amplitude η</t>
          </r>
          <r>
            <rPr>
              <rFont val="Arial"/>
              <color rgb="00000000"/>
              <sz val="11"/>
              <vertAlign val="subscript"/>
            </rPr>
            <t>max</t>
          </r>
          <r>
            <rPr>
              <rFont val="Arial"/>
              <color rgb="00000000"/>
              <sz val="11"/>
            </rPr>
            <t xml:space="preserve"> (m)</t>
          </r>
        </is>
      </c>
      <c r="B35" s="2" t="n"/>
      <c r="C35" s="17">
        <f>C24*SIN(RADIANS(Inputs!$C$15))</f>
        <v/>
      </c>
      <c r="D35" s="2" t="n"/>
      <c r="E35" s="2" t="n"/>
      <c r="F35" s="2" t="n"/>
      <c r="G35" s="2" t="n"/>
      <c r="H35" s="2" t="n"/>
      <c r="I35" s="2" t="n"/>
    </row>
    <row r="36" ht="41.64" customHeight="1">
      <c r="A36" s="17" t="inlineStr">
        <is>
          <t>Reynolds number Re (-)</t>
        </is>
      </c>
      <c r="B36" s="2" t="n"/>
      <c r="C36" s="17">
        <f>Inputs!$C$10*C22*C35*Inputs!$C$4/Inputs!$C$12</f>
        <v/>
      </c>
      <c r="D36" s="2" t="n"/>
      <c r="E36" s="2" t="n"/>
      <c r="F36" s="2" t="n"/>
      <c r="G36" s="2" t="n"/>
      <c r="H36" s="2" t="n"/>
      <c r="I36" s="2" t="n"/>
    </row>
    <row r="37" ht="15" customHeight="1">
      <c r="A37" s="3" t="inlineStr">
        <is>
          <t>Fr &lt;&lt; 0.2 means small, smooth (linear) sloshing; Re ~1e4-1e5 is typical of lab-scale water sloshing.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2026-10-31T03:45:08Z</dcterms:created>
  <dcterms:modified xmlns:dcterms="http://purl.org/dc/terms/" xmlns:xsi="http://www.w3.org/2001/XMLSchema-instance" xsi:type="dcterms:W3CDTF">2026-10-31T03:45:10Z</dcterms:modified>
</cp:coreProperties>
</file>